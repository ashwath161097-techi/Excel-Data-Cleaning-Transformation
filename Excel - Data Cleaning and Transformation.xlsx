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AB7314BA50FDFB54/Documents/"/>
    </mc:Choice>
  </mc:AlternateContent>
  <xr:revisionPtr revIDLastSave="0" documentId="8_{3E8597A8-34F2-4CC8-95F6-87170D489E01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D40" i="2" l="1"/>
</calcChain>
</file>

<file path=xl/sharedStrings.xml><?xml version="1.0" encoding="utf-8"?>
<sst xmlns="http://schemas.openxmlformats.org/spreadsheetml/2006/main" count="138" uniqueCount="103">
  <si>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</si>
  <si>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</si>
  <si>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</si>
  <si>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BY  FINDING THE AVERAGE</t>
  </si>
  <si>
    <t>• If there are products with missing categories, propose a strategy to impute or deal with these missing values effectively.</t>
  </si>
  <si>
    <t>BY INTRODUSING NEW PRODUCT NAME USING IFISBLANK FUNCTION</t>
  </si>
  <si>
    <t>2) Correcting Inconsistent Data:</t>
  </si>
  <si>
    <t>• Identify any inconsistent text formats present in the "Product Name" column.</t>
  </si>
  <si>
    <t>Mixed case (e.g., uppercase, lowercase, title case)</t>
  </si>
  <si>
    <t>• Identify any typos present in the "Category" column.</t>
  </si>
  <si>
    <t>Inconsistent spellings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</si>
  <si>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</si>
  <si>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</si>
  <si>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</si>
  <si>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</si>
  <si>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</si>
  <si>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</si>
  <si>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</si>
  <si>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</si>
  <si>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</si>
  <si>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</si>
  <si>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</si>
  <si>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</si>
  <si>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</si>
  <si>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</si>
  <si>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</si>
  <si>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</si>
  <si>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</si>
  <si>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</si>
  <si>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Standized Product Name</t>
  </si>
  <si>
    <t>Duplicate Removed Field</t>
  </si>
  <si>
    <t>Manufaturing Date</t>
  </si>
  <si>
    <t>Country Code</t>
  </si>
  <si>
    <t>PRODUCT BRAND</t>
  </si>
  <si>
    <t>DATE FORMATE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</si>
  <si>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</si>
  <si>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</si>
  <si>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</si>
  <si>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</si>
  <si>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</si>
  <si>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</si>
  <si>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</si>
  <si>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</si>
  <si>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</si>
  <si>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</si>
  <si>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</si>
  <si>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</si>
  <si>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</si>
  <si>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</si>
  <si>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</si>
  <si>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</si>
  <si>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</si>
  <si>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</si>
  <si>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</si>
  <si>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</si>
  <si>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</si>
  <si>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</si>
  <si>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</si>
  <si>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</si>
  <si>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</si>
  <si>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</si>
  <si>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</si>
  <si>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</si>
  <si>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</si>
  <si>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</si>
  <si>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</si>
  <si>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</si>
  <si>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</si>
  <si>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</si>
  <si>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18-FEB-CA</t>
  </si>
  <si>
    <t>Smartwatch</t>
  </si>
  <si>
    <t>Fitbit</t>
  </si>
  <si>
    <t>21-AUG-CA</t>
  </si>
  <si>
    <t>Laptop Bag</t>
  </si>
  <si>
    <t>Samsonite</t>
  </si>
  <si>
    <t>Accessories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</si>
  <si>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</si>
  <si>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</si>
  <si>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</si>
  <si>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</si>
  <si>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</si>
  <si>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</si>
  <si>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</si>
  <si>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</si>
  <si>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</si>
  <si>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</si>
  <si>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</si>
  <si>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</si>
  <si>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</si>
  <si>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</si>
  <si>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</si>
  <si>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07-MAR-CA</t>
  </si>
  <si>
    <t>Dress</t>
  </si>
  <si>
    <t>Zara</t>
  </si>
  <si>
    <t>13-APR-CA</t>
  </si>
  <si>
    <t>Toaster</t>
  </si>
  <si>
    <t>Hamilton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</si>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</sst>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F1339-433E-4253-B8A3-C49A1873EF89}" name="PRODUCTDB" displayName="PRODUCTDB" ref="A1:L22" totalsRowShown="0" headerRowDxfId="13" dataDxfId="12">
  <autoFilter ref="A1:L22" xr:uid="{4C6F1339-433E-4253-B8A3-C49A1873EF89}"/>
  <tableColumns count="12">
    <tableColumn id="1" xr3:uid="{820EC973-6746-435E-8AD4-55DA98914665}" name="Product ID" dataDxfId="11"/>
    <tableColumn id="2" xr3:uid="{749B1A09-78AC-49C4-8A32-CAB07928F110}" name="Product Name" dataDxfId="10"/>
    <tableColumn id="3" xr3:uid="{53C4FCF6-C583-4026-BEAB-96AC78E0933D}" name="Brand Name" dataDxfId="9"/>
    <tableColumn id="4" xr3:uid="{22651539-7CC3-499E-8E3D-0695E9B80177}" name="Price ($)" dataDxfId="8"/>
    <tableColumn id="5" xr3:uid="{DE94FDAF-9BE5-445B-BD6D-4C046533EF29}" name="Quantity" dataDxfId="7"/>
    <tableColumn id="6" xr3:uid="{A21DEB4E-6EEE-4F6C-B41D-D243D1C65906}" name="Category" dataDxfId="6"/>
    <tableColumn id="7" xr3:uid="{75412974-9F9A-42DA-B46C-BCE821C178A5}" name="Standized Product Name" dataDxfId="5">
      <calculatedColumnFormula>PROPER(PRODUCTDB[[#This Row],[Product Name]])</calculatedColumnFormula>
    </tableColumn>
    <tableColumn id="8" xr3:uid="{18459290-B8CA-4A1A-A601-2D49E4A16BE3}" name="Duplicate Removed Field" dataDxfId="4"/>
    <tableColumn id="9" xr3:uid="{E497670C-F890-4B57-BA46-82E4F205ED8E}" name="Manufaturing Date" dataDxfId="3">
      <calculatedColumnFormula>LEFT(PRODUCTDB[[#This Row],[Product ID]],2)</calculatedColumnFormula>
    </tableColumn>
    <tableColumn id="10" xr3:uid="{221647CC-4F8A-4035-A5CE-A11B7A8DBA40}" name="Country Code" dataDxfId="2">
      <calculatedColumnFormula>RIGHT(PRODUCTDB[[#This Row],[Product ID]],2)</calculatedColumnFormula>
    </tableColumn>
    <tableColumn id="11" xr3:uid="{51F0A57B-FA6E-4216-8C7A-D2CCB226FF09}" name="PRODUCT BRAND" dataDxfId="1">
      <calculatedColumnFormula>PROPER(CONCATENATE(PRODUCTDB[[#This Row],[Product Name]],"-", PRODUCTDB[[#This Row],[Brand Name]]))</calculatedColumnFormula>
    </tableColumn>
    <tableColumn id="12" xr3:uid="{3366757F-9D6A-4154-B66D-8C2CC083A6CA}" name="DATE FORMATE" dataDxfId="0">
      <calculatedColumnFormula>LEFT(PRODUCTDB[[#This Row],[Product ID]],6)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showGridLines="0" workbookViewId="0">
      <selection activeCell="G10" sqref="G10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12" ht="15.75" customHeight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5.75" customHeight="1">
      <c r="A3" s="7"/>
      <c r="B3" s="2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5.75" customHeight="1">
      <c r="A4" s="7"/>
      <c r="B4" s="7"/>
      <c r="C4" s="3" t="s">
        <v>2</v>
      </c>
      <c r="D4" s="7"/>
      <c r="E4" s="7"/>
      <c r="F4" s="7"/>
      <c r="G4" s="7"/>
      <c r="H4" s="7"/>
      <c r="I4" s="7"/>
      <c r="J4" s="7"/>
      <c r="K4" s="7"/>
      <c r="L4" s="7" t="s">
        <v>3</v>
      </c>
    </row>
    <row r="5" spans="1:12" ht="15.75" customHeight="1">
      <c r="A5" s="7"/>
      <c r="B5" s="4"/>
      <c r="C5" s="3" t="s">
        <v>4</v>
      </c>
      <c r="D5" s="7"/>
      <c r="E5" s="7"/>
      <c r="F5" s="7"/>
      <c r="G5" s="7"/>
      <c r="H5" s="7"/>
      <c r="I5" s="7"/>
      <c r="J5" s="7"/>
      <c r="K5" s="7"/>
      <c r="L5" s="7" t="s">
        <v>5</v>
      </c>
    </row>
    <row r="6" spans="1:12" ht="15.75" customHeight="1">
      <c r="A6" s="7"/>
      <c r="B6" s="4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5.75" customHeight="1">
      <c r="A7" s="7"/>
      <c r="B7" s="2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5.75" customHeight="1">
      <c r="A8" s="7"/>
      <c r="B8" s="7"/>
      <c r="C8" s="3" t="s">
        <v>7</v>
      </c>
      <c r="D8" s="7"/>
      <c r="E8" s="7"/>
      <c r="F8" s="7"/>
      <c r="G8" s="7"/>
      <c r="H8" s="7"/>
      <c r="I8" s="19" t="s">
        <v>8</v>
      </c>
      <c r="J8" s="19"/>
      <c r="K8" s="19"/>
      <c r="L8" s="19"/>
    </row>
    <row r="9" spans="1:12" ht="15.75" customHeight="1">
      <c r="A9" s="7"/>
      <c r="B9" s="7"/>
      <c r="C9" s="3" t="s">
        <v>9</v>
      </c>
      <c r="D9" s="7"/>
      <c r="E9" s="7"/>
      <c r="F9" s="7"/>
      <c r="G9" s="19" t="s">
        <v>10</v>
      </c>
      <c r="H9" s="19"/>
      <c r="I9" s="7"/>
      <c r="J9" s="7"/>
      <c r="K9" s="7"/>
      <c r="L9" s="7"/>
    </row>
    <row r="10" spans="1:12" ht="15.75" customHeight="1">
      <c r="A10" s="7"/>
      <c r="B10" s="7"/>
      <c r="C10" s="3" t="s">
        <v>11</v>
      </c>
      <c r="D10" s="7"/>
      <c r="E10" s="7"/>
      <c r="F10" s="7"/>
      <c r="G10" s="7"/>
      <c r="H10" s="7"/>
      <c r="I10" s="7"/>
      <c r="J10" s="7"/>
      <c r="K10" s="7"/>
      <c r="L10" s="7"/>
    </row>
    <row r="11" spans="1:12" ht="15.75" customHeight="1">
      <c r="A11" s="7"/>
      <c r="B11" s="4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15.75" customHeight="1">
      <c r="A12" s="7"/>
      <c r="B12" s="2" t="s">
        <v>12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.75" customHeight="1">
      <c r="A13" s="7"/>
      <c r="B13" s="2"/>
      <c r="C13" s="3" t="s">
        <v>13</v>
      </c>
      <c r="D13" s="7"/>
      <c r="E13" s="7"/>
      <c r="F13" s="7"/>
      <c r="G13" s="7"/>
      <c r="H13" s="7"/>
      <c r="I13" s="7"/>
      <c r="J13" s="7"/>
      <c r="K13" s="7"/>
      <c r="L13" s="7"/>
    </row>
    <row r="14" spans="1:12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15.75" customHeight="1">
      <c r="A15" s="7"/>
      <c r="B15" s="2" t="s">
        <v>14</v>
      </c>
      <c r="C15" s="5"/>
      <c r="D15" s="5"/>
      <c r="E15" s="5"/>
      <c r="F15" s="5"/>
      <c r="G15" s="5"/>
      <c r="H15" s="5"/>
      <c r="I15" s="5"/>
      <c r="J15" s="5"/>
      <c r="K15" s="5"/>
      <c r="L15" s="7"/>
    </row>
    <row r="16" spans="1:12" ht="15.75" customHeight="1">
      <c r="A16" s="7"/>
      <c r="B16" s="5"/>
      <c r="C16" s="3" t="s">
        <v>15</v>
      </c>
      <c r="D16" s="5"/>
      <c r="E16" s="5"/>
      <c r="F16" s="5"/>
      <c r="G16" s="5"/>
      <c r="H16" s="5"/>
      <c r="I16" s="5"/>
      <c r="J16" s="5"/>
      <c r="K16" s="5"/>
      <c r="L16" s="7"/>
    </row>
    <row r="17" spans="2:11" ht="15.75" customHeight="1">
      <c r="B17" s="5"/>
      <c r="C17" s="3" t="s">
        <v>16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>
      <c r="B19" s="2" t="s">
        <v>17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>
      <c r="B20" s="5"/>
      <c r="C20" s="3" t="s">
        <v>18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>
      <c r="B21" s="5"/>
      <c r="C21" s="3" t="s">
        <v>19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>
      <c r="B23" s="2" t="s">
        <v>20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>
      <c r="B24" s="5"/>
      <c r="C24" s="3" t="s">
        <v>21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>
      <c r="B25" s="5"/>
      <c r="C25" s="3" t="s">
        <v>22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2:11" ht="15.75" customHeight="1"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2:11" ht="15.75" customHeight="1"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2:11" ht="15.75" customHeight="1"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2:11" ht="15.75" customHeight="1">
      <c r="B32" s="7"/>
      <c r="C32" s="7"/>
      <c r="D32" s="7"/>
      <c r="E32" s="7"/>
      <c r="F32" s="7"/>
      <c r="G32" s="7"/>
      <c r="H32" s="7"/>
      <c r="I32" s="7"/>
      <c r="J32" s="7"/>
      <c r="K32" s="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8:L8"/>
    <mergeCell ref="G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topLeftCell="D1" zoomScale="110" zoomScaleNormal="110" workbookViewId="0">
      <selection activeCell="L2" sqref="L2"/>
    </sheetView>
  </sheetViews>
  <sheetFormatPr defaultColWidth="12.5703125" defaultRowHeight="15" customHeight="1"/>
  <cols>
    <col min="1" max="1" width="12.5703125" style="11" customWidth="1"/>
    <col min="2" max="2" width="15" style="11" customWidth="1"/>
    <col min="3" max="3" width="13.42578125" style="11" customWidth="1"/>
    <col min="4" max="4" width="12.5703125" style="18" customWidth="1"/>
    <col min="5" max="6" width="12.5703125" style="11" customWidth="1"/>
    <col min="7" max="7" width="25.42578125" style="11" customWidth="1"/>
    <col min="8" max="8" width="25" style="11" customWidth="1"/>
    <col min="9" max="9" width="21.85546875" style="11" customWidth="1"/>
    <col min="10" max="10" width="17" style="11" customWidth="1"/>
    <col min="11" max="11" width="26" style="11" customWidth="1"/>
    <col min="12" max="12" width="21.85546875" style="11" customWidth="1"/>
    <col min="13" max="16384" width="12.5703125" style="11"/>
  </cols>
  <sheetData>
    <row r="1" spans="1:16" ht="15.75" customHeight="1">
      <c r="A1" s="8" t="s">
        <v>23</v>
      </c>
      <c r="B1" s="8" t="s">
        <v>24</v>
      </c>
      <c r="C1" s="8" t="s">
        <v>25</v>
      </c>
      <c r="D1" s="9" t="s">
        <v>26</v>
      </c>
      <c r="E1" s="8" t="s">
        <v>27</v>
      </c>
      <c r="F1" s="8" t="s">
        <v>28</v>
      </c>
      <c r="G1" s="10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10" t="s">
        <v>34</v>
      </c>
    </row>
    <row r="2" spans="1:16" ht="15.75" customHeight="1">
      <c r="A2" s="12" t="s">
        <v>35</v>
      </c>
      <c r="B2" s="12" t="s">
        <v>36</v>
      </c>
      <c r="C2" s="12" t="s">
        <v>37</v>
      </c>
      <c r="D2" s="13">
        <v>1000</v>
      </c>
      <c r="E2" s="12">
        <v>30</v>
      </c>
      <c r="F2" s="12" t="s">
        <v>38</v>
      </c>
      <c r="G2" s="14" t="str">
        <f>PROPER(PRODUCTDB[[#This Row],[Product Name]])</f>
        <v>Laptop</v>
      </c>
      <c r="H2" s="12" t="s">
        <v>36</v>
      </c>
      <c r="I2" s="15" t="str">
        <f>LEFT(PRODUCTDB[[#This Row],[Product ID]],2)</f>
        <v>28</v>
      </c>
      <c r="J2" s="15" t="str">
        <f>RIGHT(PRODUCTDB[[#This Row],[Product ID]],2)</f>
        <v>US</v>
      </c>
      <c r="K2" s="16" t="str">
        <f>PROPER(CONCATENATE(PRODUCTDB[[#This Row],[Product Name]],"-", PRODUCTDB[[#This Row],[Brand Name]]))</f>
        <v>Laptop-Dell</v>
      </c>
      <c r="L2" s="16" t="str">
        <f>LEFT(PRODUCTDB[[#This Row],[Product ID]],6)</f>
        <v>28-JAN</v>
      </c>
    </row>
    <row r="3" spans="1:16" ht="15.75" customHeight="1">
      <c r="A3" s="15" t="s">
        <v>39</v>
      </c>
      <c r="B3" s="15" t="s">
        <v>40</v>
      </c>
      <c r="C3" s="15" t="s">
        <v>41</v>
      </c>
      <c r="D3" s="17">
        <v>80</v>
      </c>
      <c r="E3" s="15">
        <v>15</v>
      </c>
      <c r="F3" s="15" t="s">
        <v>42</v>
      </c>
      <c r="G3" s="14" t="str">
        <f>PROPER(PRODUCTDB[[#This Row],[Product Name]])</f>
        <v>Sneakers</v>
      </c>
      <c r="H3" s="15" t="s">
        <v>40</v>
      </c>
      <c r="I3" s="15" t="str">
        <f>LEFT(PRODUCTDB[[#This Row],[Product ID]],2)</f>
        <v>15</v>
      </c>
      <c r="J3" s="15" t="str">
        <f>RIGHT(PRODUCTDB[[#This Row],[Product ID]],2)</f>
        <v>US</v>
      </c>
      <c r="K3" s="16" t="str">
        <f>PROPER(CONCATENATE(PRODUCTDB[[#This Row],[Product Name]],"-", PRODUCTDB[[#This Row],[Brand Name]]))</f>
        <v>Sneakers-Nike</v>
      </c>
      <c r="L3" s="16" t="str">
        <f>LEFT(PRODUCTDB[[#This Row],[Product ID]],6)</f>
        <v>15-FEB</v>
      </c>
      <c r="M3" s="12"/>
      <c r="N3" s="12"/>
      <c r="O3" s="12"/>
      <c r="P3" s="12"/>
    </row>
    <row r="4" spans="1:16" ht="15.75" customHeight="1">
      <c r="A4" s="12" t="s">
        <v>43</v>
      </c>
      <c r="B4" s="12" t="s">
        <v>44</v>
      </c>
      <c r="C4" s="12" t="s">
        <v>45</v>
      </c>
      <c r="D4" s="13">
        <v>130</v>
      </c>
      <c r="E4" s="12">
        <v>40</v>
      </c>
      <c r="F4" s="12" t="s">
        <v>46</v>
      </c>
      <c r="G4" s="14" t="str">
        <f>PROPER(PRODUCTDB[[#This Row],[Product Name]])</f>
        <v>Coffee Maker</v>
      </c>
      <c r="H4" s="12" t="s">
        <v>44</v>
      </c>
      <c r="I4" s="15" t="str">
        <f>LEFT(PRODUCTDB[[#This Row],[Product ID]],2)</f>
        <v>03</v>
      </c>
      <c r="J4" s="15" t="str">
        <f>RIGHT(PRODUCTDB[[#This Row],[Product ID]],2)</f>
        <v>US</v>
      </c>
      <c r="K4" s="16" t="str">
        <f>PROPER(CONCATENATE(PRODUCTDB[[#This Row],[Product Name]],"-", PRODUCTDB[[#This Row],[Brand Name]]))</f>
        <v>Coffee Maker-Keurig</v>
      </c>
      <c r="L4" s="16" t="str">
        <f>LEFT(PRODUCTDB[[#This Row],[Product ID]],6)</f>
        <v>03-MAR</v>
      </c>
      <c r="M4" s="12"/>
      <c r="N4" s="12"/>
      <c r="O4" s="12"/>
      <c r="P4" s="12"/>
    </row>
    <row r="5" spans="1:16" ht="15.75" customHeight="1">
      <c r="A5" s="15" t="s">
        <v>47</v>
      </c>
      <c r="B5" s="15" t="s">
        <v>48</v>
      </c>
      <c r="C5" s="15" t="s">
        <v>49</v>
      </c>
      <c r="D5" s="17">
        <v>900</v>
      </c>
      <c r="E5" s="15">
        <v>25</v>
      </c>
      <c r="F5" s="15" t="s">
        <v>38</v>
      </c>
      <c r="G5" s="14" t="str">
        <f>PROPER(PRODUCTDB[[#This Row],[Product Name]])</f>
        <v>Smartphone</v>
      </c>
      <c r="H5" s="15" t="s">
        <v>48</v>
      </c>
      <c r="I5" s="15" t="str">
        <f>LEFT(PRODUCTDB[[#This Row],[Product ID]],2)</f>
        <v>11</v>
      </c>
      <c r="J5" s="15" t="str">
        <f>RIGHT(PRODUCTDB[[#This Row],[Product ID]],2)</f>
        <v>US</v>
      </c>
      <c r="K5" s="16" t="str">
        <f>PROPER(CONCATENATE(PRODUCTDB[[#This Row],[Product Name]],"-", PRODUCTDB[[#This Row],[Brand Name]]))</f>
        <v>Smartphone-Samsung</v>
      </c>
      <c r="L5" s="16" t="str">
        <f>LEFT(PRODUCTDB[[#This Row],[Product ID]],6)</f>
        <v>11-APR</v>
      </c>
      <c r="M5" s="12"/>
      <c r="N5" s="12"/>
      <c r="O5" s="12"/>
      <c r="P5" s="12"/>
    </row>
    <row r="6" spans="1:16" ht="15.75" customHeight="1">
      <c r="A6" s="12" t="s">
        <v>50</v>
      </c>
      <c r="B6" s="12" t="s">
        <v>51</v>
      </c>
      <c r="C6" s="12" t="s">
        <v>52</v>
      </c>
      <c r="D6" s="13">
        <v>70</v>
      </c>
      <c r="E6" s="12">
        <v>20</v>
      </c>
      <c r="F6" s="12"/>
      <c r="G6" s="14" t="str">
        <f>PROPER(PRODUCTDB[[#This Row],[Product Name]])</f>
        <v>Backpack</v>
      </c>
      <c r="H6" s="12" t="s">
        <v>51</v>
      </c>
      <c r="I6" s="15" t="str">
        <f>LEFT(PRODUCTDB[[#This Row],[Product ID]],2)</f>
        <v>22</v>
      </c>
      <c r="J6" s="15" t="str">
        <f>RIGHT(PRODUCTDB[[#This Row],[Product ID]],2)</f>
        <v>US</v>
      </c>
      <c r="K6" s="16" t="str">
        <f>PROPER(CONCATENATE(PRODUCTDB[[#This Row],[Product Name]],"-", PRODUCTDB[[#This Row],[Brand Name]]))</f>
        <v>Backpack-North Face</v>
      </c>
      <c r="L6" s="16" t="str">
        <f>LEFT(PRODUCTDB[[#This Row],[Product ID]],6)</f>
        <v>22-MAY</v>
      </c>
    </row>
    <row r="7" spans="1:16" ht="15.75" customHeight="1">
      <c r="A7" s="15" t="s">
        <v>53</v>
      </c>
      <c r="B7" s="15" t="s">
        <v>54</v>
      </c>
      <c r="C7" s="15" t="s">
        <v>55</v>
      </c>
      <c r="D7" s="17"/>
      <c r="E7" s="15">
        <v>45</v>
      </c>
      <c r="F7" s="15" t="s">
        <v>38</v>
      </c>
      <c r="G7" s="14" t="str">
        <f>PROPER(PRODUCTDB[[#This Row],[Product Name]])</f>
        <v>Headphones</v>
      </c>
      <c r="H7" s="15" t="s">
        <v>54</v>
      </c>
      <c r="I7" s="15" t="str">
        <f>LEFT(PRODUCTDB[[#This Row],[Product ID]],2)</f>
        <v>07</v>
      </c>
      <c r="J7" s="15" t="str">
        <f>RIGHT(PRODUCTDB[[#This Row],[Product ID]],2)</f>
        <v>UK</v>
      </c>
      <c r="K7" s="16" t="str">
        <f>PROPER(CONCATENATE(PRODUCTDB[[#This Row],[Product Name]],"-", PRODUCTDB[[#This Row],[Brand Name]]))</f>
        <v>Headphones-Sony</v>
      </c>
      <c r="L7" s="16" t="str">
        <f>LEFT(PRODUCTDB[[#This Row],[Product ID]],6)</f>
        <v>07-JUN</v>
      </c>
    </row>
    <row r="8" spans="1:16" ht="15.75" customHeight="1">
      <c r="A8" s="12" t="s">
        <v>56</v>
      </c>
      <c r="B8" s="12" t="s">
        <v>57</v>
      </c>
      <c r="C8" s="12" t="s">
        <v>58</v>
      </c>
      <c r="D8" s="13">
        <v>30</v>
      </c>
      <c r="E8" s="12">
        <v>5</v>
      </c>
      <c r="F8" s="12" t="s">
        <v>42</v>
      </c>
      <c r="G8" s="14" t="str">
        <f>PROPER(PRODUCTDB[[#This Row],[Product Name]])</f>
        <v>T-Shirt</v>
      </c>
      <c r="H8" s="12" t="s">
        <v>57</v>
      </c>
      <c r="I8" s="15" t="str">
        <f>LEFT(PRODUCTDB[[#This Row],[Product ID]],2)</f>
        <v>19</v>
      </c>
      <c r="J8" s="15" t="str">
        <f>RIGHT(PRODUCTDB[[#This Row],[Product ID]],2)</f>
        <v>UK</v>
      </c>
      <c r="K8" s="16" t="str">
        <f>PROPER(CONCATENATE(PRODUCTDB[[#This Row],[Product Name]],"-", PRODUCTDB[[#This Row],[Brand Name]]))</f>
        <v>T-Shirt-Adidas</v>
      </c>
      <c r="L8" s="16" t="str">
        <f>LEFT(PRODUCTDB[[#This Row],[Product ID]],6)</f>
        <v>19-JUL</v>
      </c>
    </row>
    <row r="9" spans="1:16" ht="15.75" customHeight="1">
      <c r="A9" s="15" t="s">
        <v>59</v>
      </c>
      <c r="B9" s="15" t="s">
        <v>60</v>
      </c>
      <c r="C9" s="15" t="s">
        <v>61</v>
      </c>
      <c r="D9" s="17">
        <v>90</v>
      </c>
      <c r="E9" s="15">
        <v>35</v>
      </c>
      <c r="F9" s="15" t="s">
        <v>46</v>
      </c>
      <c r="G9" s="14" t="str">
        <f>PROPER(PRODUCTDB[[#This Row],[Product Name]])</f>
        <v>Blender</v>
      </c>
      <c r="H9" s="15" t="s">
        <v>60</v>
      </c>
      <c r="I9" s="15" t="str">
        <f>LEFT(PRODUCTDB[[#This Row],[Product ID]],2)</f>
        <v>23</v>
      </c>
      <c r="J9" s="15" t="str">
        <f>RIGHT(PRODUCTDB[[#This Row],[Product ID]],2)</f>
        <v>UK</v>
      </c>
      <c r="K9" s="16" t="str">
        <f>PROPER(CONCATENATE(PRODUCTDB[[#This Row],[Product Name]],"-", PRODUCTDB[[#This Row],[Brand Name]]))</f>
        <v>Blender-Ninja</v>
      </c>
      <c r="L9" s="16" t="str">
        <f>LEFT(PRODUCTDB[[#This Row],[Product ID]],6)</f>
        <v>23-AUG</v>
      </c>
    </row>
    <row r="10" spans="1:16" ht="15.75" customHeight="1">
      <c r="A10" s="12" t="s">
        <v>62</v>
      </c>
      <c r="B10" s="12" t="s">
        <v>63</v>
      </c>
      <c r="C10" s="12" t="s">
        <v>64</v>
      </c>
      <c r="D10" s="13">
        <v>500</v>
      </c>
      <c r="E10" s="12">
        <v>50</v>
      </c>
      <c r="F10" s="12" t="s">
        <v>38</v>
      </c>
      <c r="G10" s="14" t="str">
        <f>PROPER(PRODUCTDB[[#This Row],[Product Name]])</f>
        <v>Tablet</v>
      </c>
      <c r="H10" s="12" t="s">
        <v>63</v>
      </c>
      <c r="I10" s="15" t="str">
        <f>LEFT(PRODUCTDB[[#This Row],[Product ID]],2)</f>
        <v>05</v>
      </c>
      <c r="J10" s="15" t="str">
        <f>RIGHT(PRODUCTDB[[#This Row],[Product ID]],2)</f>
        <v>UK</v>
      </c>
      <c r="K10" s="16" t="str">
        <f>PROPER(CONCATENATE(PRODUCTDB[[#This Row],[Product Name]],"-", PRODUCTDB[[#This Row],[Brand Name]]))</f>
        <v>Tablet-Apple</v>
      </c>
      <c r="L10" s="16" t="str">
        <f>LEFT(PRODUCTDB[[#This Row],[Product ID]],6)</f>
        <v>05-SEP</v>
      </c>
    </row>
    <row r="11" spans="1:16" ht="15.75" customHeight="1">
      <c r="A11" s="15" t="s">
        <v>65</v>
      </c>
      <c r="B11" s="15" t="s">
        <v>66</v>
      </c>
      <c r="C11" s="15" t="s">
        <v>67</v>
      </c>
      <c r="D11" s="17">
        <v>130</v>
      </c>
      <c r="E11" s="15">
        <v>10</v>
      </c>
      <c r="F11" s="15" t="s">
        <v>68</v>
      </c>
      <c r="G11" s="14" t="str">
        <f>PROPER(PRODUCTDB[[#This Row],[Product Name]])</f>
        <v>Hiking Boots</v>
      </c>
      <c r="H11" s="15" t="s">
        <v>66</v>
      </c>
      <c r="I11" s="15" t="str">
        <f>LEFT(PRODUCTDB[[#This Row],[Product ID]],2)</f>
        <v>14</v>
      </c>
      <c r="J11" s="15" t="str">
        <f>RIGHT(PRODUCTDB[[#This Row],[Product ID]],2)</f>
        <v>UK</v>
      </c>
      <c r="K11" s="16" t="str">
        <f>PROPER(CONCATENATE(PRODUCTDB[[#This Row],[Product Name]],"-", PRODUCTDB[[#This Row],[Brand Name]]))</f>
        <v>Hiking Boots-Timberland</v>
      </c>
      <c r="L11" s="16" t="str">
        <f>LEFT(PRODUCTDB[[#This Row],[Product ID]],6)</f>
        <v>14-OCT</v>
      </c>
    </row>
    <row r="12" spans="1:16" ht="15.75" customHeight="1">
      <c r="A12" s="15" t="s">
        <v>69</v>
      </c>
      <c r="B12" s="15" t="s">
        <v>70</v>
      </c>
      <c r="C12" s="15" t="s">
        <v>71</v>
      </c>
      <c r="D12" s="17">
        <v>150</v>
      </c>
      <c r="E12" s="15">
        <v>15</v>
      </c>
      <c r="F12" s="15" t="s">
        <v>38</v>
      </c>
      <c r="G12" s="14" t="str">
        <f>PROPER(PRODUCTDB[[#This Row],[Product Name]])</f>
        <v>Smartwatch</v>
      </c>
      <c r="H12" s="15" t="s">
        <v>70</v>
      </c>
      <c r="I12" s="15" t="str">
        <f>LEFT(PRODUCTDB[[#This Row],[Product ID]],2)</f>
        <v>18</v>
      </c>
      <c r="J12" s="15" t="str">
        <f>RIGHT(PRODUCTDB[[#This Row],[Product ID]],2)</f>
        <v>CA</v>
      </c>
      <c r="K12" s="16" t="str">
        <f>PROPER(CONCATENATE(PRODUCTDB[[#This Row],[Product Name]],"-", PRODUCTDB[[#This Row],[Brand Name]]))</f>
        <v>Smartwatch-Fitbit</v>
      </c>
      <c r="L12" s="16" t="str">
        <f>LEFT(PRODUCTDB[[#This Row],[Product ID]],6)</f>
        <v>18-FEB</v>
      </c>
    </row>
    <row r="13" spans="1:16" ht="15.75" customHeight="1">
      <c r="A13" s="15" t="s">
        <v>72</v>
      </c>
      <c r="B13" s="15" t="s">
        <v>73</v>
      </c>
      <c r="C13" s="15" t="s">
        <v>74</v>
      </c>
      <c r="D13" s="17">
        <v>50</v>
      </c>
      <c r="E13" s="15">
        <v>35</v>
      </c>
      <c r="F13" s="15" t="s">
        <v>75</v>
      </c>
      <c r="G13" s="14" t="str">
        <f>PROPER(PRODUCTDB[[#This Row],[Product Name]])</f>
        <v>Laptop Bag</v>
      </c>
      <c r="H13" s="15" t="s">
        <v>73</v>
      </c>
      <c r="I13" s="15" t="str">
        <f>LEFT(PRODUCTDB[[#This Row],[Product ID]],2)</f>
        <v>21</v>
      </c>
      <c r="J13" s="15" t="str">
        <f>RIGHT(PRODUCTDB[[#This Row],[Product ID]],2)</f>
        <v>CA</v>
      </c>
      <c r="K13" s="16" t="str">
        <f>PROPER(CONCATENATE(PRODUCTDB[[#This Row],[Product Name]],"-", PRODUCTDB[[#This Row],[Brand Name]]))</f>
        <v>Laptop Bag-Samsonite</v>
      </c>
      <c r="L13" s="16" t="str">
        <f>LEFT(PRODUCTDB[[#This Row],[Product ID]],6)</f>
        <v>21-AUG</v>
      </c>
    </row>
    <row r="14" spans="1:16" ht="15.75" customHeight="1">
      <c r="A14" s="12" t="s">
        <v>76</v>
      </c>
      <c r="B14" s="12" t="s">
        <v>77</v>
      </c>
      <c r="C14" s="12" t="s">
        <v>78</v>
      </c>
      <c r="D14" s="13">
        <v>150</v>
      </c>
      <c r="E14" s="12">
        <v>15</v>
      </c>
      <c r="F14" s="12" t="s">
        <v>42</v>
      </c>
      <c r="G14" s="14" t="str">
        <f>PROPER(PRODUCTDB[[#This Row],[Product Name]])</f>
        <v>Sunglasses</v>
      </c>
      <c r="H14" s="12" t="s">
        <v>77</v>
      </c>
      <c r="I14" s="15" t="str">
        <f>LEFT(PRODUCTDB[[#This Row],[Product ID]],2)</f>
        <v>01</v>
      </c>
      <c r="J14" s="15" t="str">
        <f>RIGHT(PRODUCTDB[[#This Row],[Product ID]],2)</f>
        <v>UK</v>
      </c>
      <c r="K14" s="16" t="str">
        <f>PROPER(CONCATENATE(PRODUCTDB[[#This Row],[Product Name]],"-", PRODUCTDB[[#This Row],[Brand Name]]))</f>
        <v>Sunglasses-Oakley</v>
      </c>
      <c r="L14" s="16" t="str">
        <f>LEFT(PRODUCTDB[[#This Row],[Product ID]],6)</f>
        <v>01-MAR</v>
      </c>
    </row>
    <row r="15" spans="1:16" ht="15.75" customHeight="1">
      <c r="A15" s="15" t="s">
        <v>79</v>
      </c>
      <c r="B15" s="15" t="s">
        <v>80</v>
      </c>
      <c r="C15" s="15" t="s">
        <v>81</v>
      </c>
      <c r="D15" s="17"/>
      <c r="E15" s="15">
        <v>10</v>
      </c>
      <c r="F15" s="15" t="s">
        <v>68</v>
      </c>
      <c r="G15" s="14" t="str">
        <f>PROPER(PRODUCTDB[[#This Row],[Product Name]])</f>
        <v>Camping Tent</v>
      </c>
      <c r="H15" s="15" t="s">
        <v>80</v>
      </c>
      <c r="I15" s="15" t="str">
        <f>LEFT(PRODUCTDB[[#This Row],[Product ID]],2)</f>
        <v>14</v>
      </c>
      <c r="J15" s="15" t="str">
        <f>RIGHT(PRODUCTDB[[#This Row],[Product ID]],2)</f>
        <v>US</v>
      </c>
      <c r="K15" s="16" t="str">
        <f>PROPER(CONCATENATE(PRODUCTDB[[#This Row],[Product Name]],"-", PRODUCTDB[[#This Row],[Brand Name]]))</f>
        <v>Camping Tent-Coleman</v>
      </c>
      <c r="L15" s="16" t="str">
        <f>LEFT(PRODUCTDB[[#This Row],[Product ID]],6)</f>
        <v>14-AUG</v>
      </c>
    </row>
    <row r="16" spans="1:16" ht="15.75" customHeight="1">
      <c r="A16" s="12" t="s">
        <v>82</v>
      </c>
      <c r="B16" s="12" t="s">
        <v>83</v>
      </c>
      <c r="C16" s="12" t="s">
        <v>84</v>
      </c>
      <c r="D16" s="13">
        <v>700</v>
      </c>
      <c r="E16" s="12">
        <v>50</v>
      </c>
      <c r="F16" s="12" t="s">
        <v>38</v>
      </c>
      <c r="G16" s="14" t="str">
        <f>PROPER(PRODUCTDB[[#This Row],[Product Name]])</f>
        <v>Camera</v>
      </c>
      <c r="H16" s="12" t="s">
        <v>83</v>
      </c>
      <c r="I16" s="15" t="str">
        <f>LEFT(PRODUCTDB[[#This Row],[Product ID]],2)</f>
        <v>14</v>
      </c>
      <c r="J16" s="15" t="str">
        <f>RIGHT(PRODUCTDB[[#This Row],[Product ID]],2)</f>
        <v>RU</v>
      </c>
      <c r="K16" s="16" t="str">
        <f>PROPER(CONCATENATE(PRODUCTDB[[#This Row],[Product Name]],"-", PRODUCTDB[[#This Row],[Brand Name]]))</f>
        <v>Camera-Nikon</v>
      </c>
      <c r="L16" s="16" t="str">
        <f>LEFT(PRODUCTDB[[#This Row],[Product ID]],6)</f>
        <v>14-MAY</v>
      </c>
    </row>
    <row r="17" spans="1:12" ht="15.75" customHeight="1">
      <c r="A17" s="15" t="s">
        <v>85</v>
      </c>
      <c r="B17" s="15" t="s">
        <v>86</v>
      </c>
      <c r="C17" s="15" t="s">
        <v>87</v>
      </c>
      <c r="D17" s="17">
        <v>80</v>
      </c>
      <c r="E17" s="15">
        <v>20</v>
      </c>
      <c r="F17" s="15" t="s">
        <v>46</v>
      </c>
      <c r="G17" s="14" t="str">
        <f>PROPER(PRODUCTDB[[#This Row],[Product Name]])</f>
        <v>Microwave</v>
      </c>
      <c r="H17" s="15" t="s">
        <v>86</v>
      </c>
      <c r="I17" s="15" t="str">
        <f>LEFT(PRODUCTDB[[#This Row],[Product ID]],2)</f>
        <v>09</v>
      </c>
      <c r="J17" s="15" t="str">
        <f>RIGHT(PRODUCTDB[[#This Row],[Product ID]],2)</f>
        <v>CA</v>
      </c>
      <c r="K17" s="16" t="str">
        <f>PROPER(CONCATENATE(PRODUCTDB[[#This Row],[Product Name]],"-", PRODUCTDB[[#This Row],[Brand Name]]))</f>
        <v>Microwave-Panasonic</v>
      </c>
      <c r="L17" s="16" t="str">
        <f>LEFT(PRODUCTDB[[#This Row],[Product ID]],6)</f>
        <v>09-JAN</v>
      </c>
    </row>
    <row r="18" spans="1:12" ht="15.75" customHeight="1">
      <c r="A18" s="12" t="s">
        <v>88</v>
      </c>
      <c r="B18" s="12" t="s">
        <v>89</v>
      </c>
      <c r="C18" s="12" t="s">
        <v>90</v>
      </c>
      <c r="D18" s="13">
        <v>150</v>
      </c>
      <c r="E18" s="12">
        <v>30</v>
      </c>
      <c r="F18" s="12"/>
      <c r="G18" s="14" t="str">
        <f>PROPER(PRODUCTDB[[#This Row],[Product Name]])</f>
        <v>Fitness Tracker</v>
      </c>
      <c r="H18" s="12" t="s">
        <v>89</v>
      </c>
      <c r="I18" s="15" t="str">
        <f>LEFT(PRODUCTDB[[#This Row],[Product ID]],2)</f>
        <v>19</v>
      </c>
      <c r="J18" s="15" t="str">
        <f>RIGHT(PRODUCTDB[[#This Row],[Product ID]],2)</f>
        <v>BR</v>
      </c>
      <c r="K18" s="16" t="str">
        <f>PROPER(CONCATENATE(PRODUCTDB[[#This Row],[Product Name]],"-", PRODUCTDB[[#This Row],[Brand Name]]))</f>
        <v>Fitness Tracker-Xiaomi</v>
      </c>
      <c r="L18" s="16" t="str">
        <f>LEFT(PRODUCTDB[[#This Row],[Product ID]],6)</f>
        <v>19-JUL</v>
      </c>
    </row>
    <row r="19" spans="1:12" ht="15.75" customHeight="1">
      <c r="A19" s="12" t="s">
        <v>91</v>
      </c>
      <c r="B19" s="12" t="s">
        <v>92</v>
      </c>
      <c r="C19" s="12" t="s">
        <v>93</v>
      </c>
      <c r="D19" s="13">
        <v>60</v>
      </c>
      <c r="E19" s="12">
        <v>30</v>
      </c>
      <c r="F19" s="12" t="s">
        <v>42</v>
      </c>
      <c r="G19" s="14" t="str">
        <f>PROPER(PRODUCTDB[[#This Row],[Product Name]])</f>
        <v>Dress</v>
      </c>
      <c r="H19" s="12" t="s">
        <v>92</v>
      </c>
      <c r="I19" s="15" t="str">
        <f>LEFT(PRODUCTDB[[#This Row],[Product ID]],2)</f>
        <v>07</v>
      </c>
      <c r="J19" s="15" t="str">
        <f>RIGHT(PRODUCTDB[[#This Row],[Product ID]],2)</f>
        <v>CA</v>
      </c>
      <c r="K19" s="16" t="str">
        <f>PROPER(CONCATENATE(PRODUCTDB[[#This Row],[Product Name]],"-", PRODUCTDB[[#This Row],[Brand Name]]))</f>
        <v>Dress-Zara</v>
      </c>
      <c r="L19" s="16" t="str">
        <f>LEFT(PRODUCTDB[[#This Row],[Product ID]],6)</f>
        <v>07-MAR</v>
      </c>
    </row>
    <row r="20" spans="1:12" ht="15.75" customHeight="1">
      <c r="A20" s="15" t="s">
        <v>94</v>
      </c>
      <c r="B20" s="15" t="s">
        <v>95</v>
      </c>
      <c r="C20" s="15" t="s">
        <v>96</v>
      </c>
      <c r="D20" s="17">
        <v>40</v>
      </c>
      <c r="E20" s="15">
        <v>10</v>
      </c>
      <c r="F20" s="15" t="s">
        <v>46</v>
      </c>
      <c r="G20" s="14" t="str">
        <f>PROPER(PRODUCTDB[[#This Row],[Product Name]])</f>
        <v>Toaster</v>
      </c>
      <c r="H20" s="15" t="s">
        <v>95</v>
      </c>
      <c r="I20" s="15" t="str">
        <f>LEFT(PRODUCTDB[[#This Row],[Product ID]],2)</f>
        <v>13</v>
      </c>
      <c r="J20" s="15" t="str">
        <f>RIGHT(PRODUCTDB[[#This Row],[Product ID]],2)</f>
        <v>CA</v>
      </c>
      <c r="K20" s="16" t="str">
        <f>PROPER(CONCATENATE(PRODUCTDB[[#This Row],[Product Name]],"-", PRODUCTDB[[#This Row],[Brand Name]]))</f>
        <v>Toaster-Hamilton</v>
      </c>
      <c r="L20" s="16" t="str">
        <f>LEFT(PRODUCTDB[[#This Row],[Product ID]],6)</f>
        <v>13-APR</v>
      </c>
    </row>
    <row r="21" spans="1:12" ht="15.75" customHeight="1">
      <c r="A21" s="15" t="s">
        <v>97</v>
      </c>
      <c r="B21" s="15" t="s">
        <v>98</v>
      </c>
      <c r="C21" s="15" t="s">
        <v>99</v>
      </c>
      <c r="D21" s="17">
        <v>50</v>
      </c>
      <c r="E21" s="15">
        <v>50</v>
      </c>
      <c r="F21" s="15" t="s">
        <v>42</v>
      </c>
      <c r="G21" s="14" t="str">
        <f>PROPER(PRODUCTDB[[#This Row],[Product Name]])</f>
        <v>Jeans</v>
      </c>
      <c r="H21" s="15" t="s">
        <v>98</v>
      </c>
      <c r="I21" s="15" t="str">
        <f>LEFT(PRODUCTDB[[#This Row],[Product ID]],2)</f>
        <v>02</v>
      </c>
      <c r="J21" s="15" t="str">
        <f>RIGHT(PRODUCTDB[[#This Row],[Product ID]],2)</f>
        <v>CA</v>
      </c>
      <c r="K21" s="16" t="str">
        <f>PROPER(CONCATENATE(PRODUCTDB[[#This Row],[Product Name]],"-", PRODUCTDB[[#This Row],[Brand Name]]))</f>
        <v>Jeans-Levi'S</v>
      </c>
      <c r="L21" s="16" t="str">
        <f>LEFT(PRODUCTDB[[#This Row],[Product ID]],6)</f>
        <v>02-DEC</v>
      </c>
    </row>
    <row r="22" spans="1:12" ht="15.75" customHeight="1">
      <c r="A22" s="15" t="s">
        <v>100</v>
      </c>
      <c r="B22" s="15" t="s">
        <v>101</v>
      </c>
      <c r="C22" s="15" t="s">
        <v>102</v>
      </c>
      <c r="D22" s="17">
        <v>100</v>
      </c>
      <c r="E22" s="15">
        <v>20</v>
      </c>
      <c r="F22" s="15" t="s">
        <v>75</v>
      </c>
      <c r="G22" s="14" t="str">
        <f>PROPER(PRODUCTDB[[#This Row],[Product Name]])</f>
        <v>Watch</v>
      </c>
      <c r="H22" s="15" t="s">
        <v>101</v>
      </c>
      <c r="I22" s="15" t="str">
        <f>LEFT(PRODUCTDB[[#This Row],[Product ID]],2)</f>
        <v>09</v>
      </c>
      <c r="J22" s="15" t="str">
        <f>RIGHT(PRODUCTDB[[#This Row],[Product ID]],2)</f>
        <v>FR</v>
      </c>
      <c r="K22" s="16" t="str">
        <f>PROPER(CONCATENATE(PRODUCTDB[[#This Row],[Product Name]],"-", PRODUCTDB[[#This Row],[Brand Name]]))</f>
        <v>Watch-Casio</v>
      </c>
      <c r="L22" s="16" t="str">
        <f>LEFT(PRODUCTDB[[#This Row],[Product ID]],6)</f>
        <v>09-JUL</v>
      </c>
    </row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spans="4:4" ht="15.75" customHeight="1"/>
    <row r="34" spans="4:4" ht="15.75" customHeight="1"/>
    <row r="35" spans="4:4" ht="15.75" customHeight="1"/>
    <row r="36" spans="4:4" ht="15.75" customHeight="1"/>
    <row r="37" spans="4:4" ht="15.75" customHeight="1"/>
    <row r="38" spans="4:4" ht="15.75" customHeight="1"/>
    <row r="39" spans="4:4" ht="15.75" customHeight="1"/>
    <row r="40" spans="4:4" ht="15.75" customHeight="1">
      <c r="D40" s="18">
        <f>AVERAGE(PRODUCTDB[Price ($)])</f>
        <v>234.73684210526315</v>
      </c>
    </row>
    <row r="41" spans="4:4" ht="15.75" customHeight="1"/>
    <row r="42" spans="4:4" ht="15.75" customHeight="1"/>
    <row r="43" spans="4:4" ht="15.75" customHeight="1"/>
    <row r="44" spans="4:4" ht="15.75" customHeight="1"/>
    <row r="45" spans="4:4" ht="15.75" customHeight="1"/>
    <row r="46" spans="4:4" ht="15.75" customHeight="1"/>
    <row r="47" spans="4:4" ht="15.75" customHeight="1"/>
    <row r="48" spans="4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1048576">
    <cfRule type="colorScale" priority="5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F1:F1048576">
    <cfRule type="expression" dxfId="15" priority="4">
      <formula>$F$2</formula>
    </cfRule>
    <cfRule type="containsText" priority="2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D47FD8DE-5286-40DD-BC64-9165E1E411D1}">
            <xm:f>NOT(ISERROR(SEARCH($F$2,F1)))</xm:f>
            <xm:f>$F$2</xm:f>
            <x14:dxf/>
          </x14:cfRule>
          <x14:cfRule type="containsText" priority="1" operator="containsText" id="{872627BE-3195-4997-96D6-74A14B9DC98C}">
            <xm:f>NOT(ISERROR(SEARCH($F$2,F1)))</xm:f>
            <xm:f>$F$2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2026-01-02T17:45:46Z</dcterms:created>
  <dcterms:modified xsi:type="dcterms:W3CDTF">2026-01-04T15:35:16Z</dcterms:modified>
  <cp:category/>
  <cp:contentStatus/>
</cp:coreProperties>
</file>